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885e543f3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cion" sheetId="1" r:id="Rf74d7bf7d85c4f9b"/>
    <x:sheet xmlns:r="http://schemas.openxmlformats.org/officeDocument/2006/relationships" name="Datos_base" sheetId="2" r:id="Rfb45fdf410c14fe1"/>
    <x:sheet xmlns:r="http://schemas.openxmlformats.org/officeDocument/2006/relationships" name="Inicial" sheetId="3" r:id="R86a959a2c3ae49bf"/>
    <x:sheet xmlns:r="http://schemas.openxmlformats.org/officeDocument/2006/relationships" name="Final" sheetId="4" r:id="R867627a062344a93"/>
    <x:sheet xmlns:r="http://schemas.openxmlformats.org/officeDocument/2006/relationships" name="Trazabilidad" sheetId="5" r:id="R0343066306d9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S/ &quot;0.00"/>
    <x:numFmt numFmtId="201" formatCode="hh:mm"/>
    <x:numFmt numFmtId="202" formatCode="dd/mm/yyyy"/>
    <x:numFmt numFmtId="203" formatCode="dd/mm/yyyy hh:mm"/>
  </x:numFmts>
  <x:fonts count="5">
    <x:font>
      <x:sz val="11"/>
      <x:name val="Carlito"/>
    </x:font>
    <x:font>
      <x:sz val="11"/>
      <x:color rgb="FF172A39"/>
      <x:name val="Arial"/>
    </x:font>
    <x:font>
      <x:b/>
      <x:sz val="16"/>
      <x:color rgb="FF172A39"/>
      <x:name val="Arial"/>
    </x:font>
    <x:font>
      <x:i/>
      <x:sz val="10"/>
      <x:color rgb="FF526670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C4D"/>
      </x:patternFill>
    </x:fill>
    <x:fill>
      <x:patternFill patternType="solid">
        <x:fgColor rgb="FFF0F5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8D2521"/>
      </x:font>
      <x:fill>
        <x:patternFill patternType="solid">
          <x:bgColor rgb="FFFDE8E5"/>
        </x:patternFill>
      </x:fill>
    </x:dxf>
    <x:dxf>
      <x:font>
        <x:color rgb="FF8D2521"/>
      </x:font>
      <x:fill>
        <x:patternFill patternType="solid">
          <x:bgColor rgb="FFFDE8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f8d4a88944cc7" /><Relationship Type="http://schemas.openxmlformats.org/officeDocument/2006/relationships/theme" Target="/xl/theme/theme1.xml" Id="R4b3dd4d680c24be3" /><Relationship Type="http://schemas.microsoft.com/office/2022/11/relationships/FeaturePropertyBag" Target="/xl/featurePropertyBag/featurePropertyBag.xml" Id="R8ec2c2343b874103" /><Relationship Type="http://schemas.openxmlformats.org/officeDocument/2006/relationships/sharedStrings" Target="/xl/sharedStrings.xml" Id="Re77ee9d3a77e4c63" /><Relationship Type="http://schemas.openxmlformats.org/officeDocument/2006/relationships/worksheet" Target="/xl/worksheets/sheet1.xml" Id="Rf74d7bf7d85c4f9b" /><Relationship Type="http://schemas.openxmlformats.org/officeDocument/2006/relationships/worksheet" Target="/xl/worksheets/sheet2.xml" Id="Rfb45fdf410c14fe1" /><Relationship Type="http://schemas.openxmlformats.org/officeDocument/2006/relationships/worksheet" Target="/xl/worksheets/sheet3.xml" Id="R86a959a2c3ae49bf" /><Relationship Type="http://schemas.openxmlformats.org/officeDocument/2006/relationships/worksheet" Target="/xl/worksheets/sheet4.xml" Id="R867627a062344a93" /><Relationship Type="http://schemas.openxmlformats.org/officeDocument/2006/relationships/worksheet" Target="/xl/worksheets/sheet5.xml" Id="R0343066306d944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Corrida manual del modelo entidad relación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Escenario: 28/09/2026 09:00 Lima. Revisión de escritorio; no es una prueba del backend.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8" t="str">
        <x:v>Paso</x:v>
      </x:c>
      <x:c r="B5" s="8" t="str">
        <x:v>Operación</x:v>
      </x:c>
      <x:c r="C5" s="8" t="str">
        <x:v>Resultado de escritorio</x:v>
      </x:c>
      <x:c r="D5" s="2"/>
      <x:c r="E5" s="2"/>
      <x:c r="F5" s="2"/>
      <x:c r="G5" s="2"/>
      <x:c r="H5" s="2"/>
      <x:c r="I5" s="2"/>
      <x:c r="J5" s="2"/>
      <x:c r="K5" s="2"/>
      <x:c r="L5" s="2"/>
    </x:row>
    <x:row r="6" ht="29" customHeight="1">
      <x:c r="A6" s="2" t="n">
        <x:v>1</x:v>
      </x:c>
      <x:c r="B6" s="2" t="str">
        <x:v>Reservar a las 10:10</x:v>
      </x:c>
      <x:c r="C6" s="2" t="str">
        <x:v>Rechazar: cruza R101 y R102.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29" customHeight="1">
      <x:c r="A7" s="9" t="n">
        <x:v>2</x:v>
      </x:c>
      <x:c r="B7" s="9" t="str">
        <x:v>Reservar a las 10:50</x:v>
      </x:c>
      <x:c r="C7" s="9" t="str">
        <x:v>Aceptar R103 hasta 11:20; A3 y N3.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29" customHeight="1">
      <x:c r="A8" s="2" t="n">
        <x:v>3</x:v>
      </x:c>
      <x:c r="B8" s="2" t="str">
        <x:v>Mover R103 a las 16:00</x:v>
      </x:c>
      <x:c r="C8" s="2" t="str">
        <x:v>Rechazar por K1; conservar 10:50.</x:v>
      </x:c>
      <x:c r="D8" s="2"/>
      <x:c r="E8" s="2"/>
      <x:c r="F8" s="2"/>
      <x:c r="G8" s="2"/>
      <x:c r="H8" s="2"/>
      <x:c r="I8" s="2"/>
      <x:c r="J8" s="2"/>
      <x:c r="K8" s="2"/>
      <x:c r="L8" s="2"/>
    </x:row>
    <x:row r="9" ht="29" customHeight="1">
      <x:c r="A9" s="9" t="n">
        <x:v>4</x:v>
      </x:c>
      <x:c r="B9" s="9" t="str">
        <x:v>Cancelar R101</x:v>
      </x:c>
      <x:c r="C9" s="9" t="str">
        <x:v>Aceptar; liberar 10:00–10:30; A4 y N4.</x:v>
      </x:c>
      <x:c r="D9" s="2"/>
      <x:c r="E9" s="2"/>
      <x:c r="F9" s="2"/>
      <x:c r="G9" s="2"/>
      <x:c r="H9" s="2"/>
      <x:c r="I9" s="2"/>
      <x:c r="J9" s="2"/>
      <x:c r="K9" s="2"/>
      <x:c r="L9" s="2"/>
    </x:row>
    <x:row r="10" ht="29" customHeight="1">
      <x:c r="A10" s="2" t="n">
        <x:v>5</x:v>
      </x:c>
      <x:c r="B10" s="2" t="str">
        <x:v>Mover R103 a las 10:00</x:v>
      </x:c>
      <x:c r="C10" s="2" t="str">
        <x:v>Aceptar; conservar precio; A5 y N5.</x:v>
      </x:c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9" customHeight="1">
      <x:c r="A11" s="9" t="n">
        <x:v>6</x:v>
      </x:c>
      <x:c r="B11" s="9" t="str">
        <x:v>Atender R102</x:v>
      </x:c>
      <x:c r="C11" s="9" t="str">
        <x:v>Confirmar, iniciar y completar; A6–A8 y N6–N8.</x:v>
      </x:c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9" customHeight="1">
      <x:c r="A12" s="2" t="n">
        <x:v>7</x:v>
      </x:c>
      <x:c r="B12" s="2" t="str">
        <x:v>Reservar servicio S99</x:v>
      </x:c>
      <x:c r="C12" s="2" t="str">
        <x:v>Rechazar: referencia inexistente.</x:v>
      </x:c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9" customHeight="1">
      <x:c r="A13" s="9" t="n">
        <x:v>8</x:v>
      </x:c>
      <x:c r="B13" s="9" t="str">
        <x:v>Cambiar S1 a S/ 30</x:v>
      </x:c>
      <x:c r="C13" s="9" t="str">
        <x:v>Conservar S/ 25 en R101 y R103.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6" customHeight="1">
      <x:c r="A17" s="8" t="str">
        <x:v>Estado</x:v>
      </x:c>
      <x:c r="B17" s="8" t="str">
        <x:v>Total calculado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9" customHeight="1">
      <x:c r="A18" s="2" t="str">
        <x:v>pendiente</x:v>
      </x:c>
      <x:c r="B18" s="2" t="n">
        <x:f>COUNTIFS(Final!$J$6:$J$8,A18)</x:f>
        <x:v>0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9" customHeight="1">
      <x:c r="A19" s="9" t="str">
        <x:v>confirmada</x:v>
      </x:c>
      <x:c r="B19" s="9" t="n">
        <x:f>COUNTIFS(Final!$J$6:$J$8,A19)</x:f>
        <x:v>1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9" customHeight="1">
      <x:c r="A20" s="2" t="str">
        <x:v>en atención</x:v>
      </x:c>
      <x:c r="B20" s="2" t="n">
        <x:f>COUNTIFS(Final!$J$6:$J$8,A20)</x:f>
        <x:v>0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9" customHeight="1">
      <x:c r="A21" s="9" t="str">
        <x:v>completada</x:v>
      </x:c>
      <x:c r="B21" s="9" t="n">
        <x:f>COUNTIFS(Final!$J$6:$J$8,A21)</x:f>
        <x:v>1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9" customHeight="1">
      <x:c r="A22" s="2" t="str">
        <x:v>cancelada</x:v>
      </x:c>
      <x:c r="B22" s="2" t="n">
        <x:f>COUNTIFS(Final!$J$6:$J$8,A22)</x:f>
        <x:v>1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9" customHeight="1">
      <x:c r="A23" s="9" t="str">
        <x:v>no asistió</x:v>
      </x:c>
      <x:c r="B23" s="9" t="n">
        <x:f>COUNTIFS(Final!$J$6:$J$8,A23)</x:f>
        <x:v>0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 t="str">
        <x:v>Total</x:v>
      </x:c>
      <x:c r="B24" s="2" t="n">
        <x:f>SUM(B18:B23)</x:f>
        <x:v>3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8" t="str">
        <x:v>Reserva</x:v>
      </x:c>
      <x:c r="B27" s="8" t="str">
        <x:v>FK válidas</x:v>
      </x:c>
      <x:c r="C27" s="8" t="str">
        <x:v>Duración correcta</x:v>
      </x:c>
      <x:c r="D27" s="8" t="str">
        <x:v>Sin solapamiento</x:v>
      </x:c>
      <x:c r="E27" s="2"/>
      <x:c r="F27" s="2"/>
      <x:c r="G27" s="2"/>
      <x:c r="H27" s="2"/>
      <x:c r="I27" s="2"/>
      <x:c r="J27" s="2"/>
      <x:c r="K27" s="2"/>
      <x:c r="L27" s="2"/>
    </x:row>
    <x:row r="28" ht="29" customHeight="1">
      <x:c r="A28" s="2" t="str">
        <x:v>R101</x:v>
      </x:c>
      <x:c r="B28" s="2" t="b">
        <x:f>AND(COUNTIFS(Datos_base!$A$6:$A$9,Final!B6)=1,COUNTIFS(Datos_base!$A$13:$A$13,Final!C6)=1,COUNTIFS(Datos_base!$A$17:$A$18,Final!D6)=1)</x:f>
        <x:v>1</x:v>
      </x:c>
      <x:c r="C28" s="2" t="b">
        <x:f>ROUND((Final!G6-Final!F6)*1440,0)=Final!H6</x:f>
        <x:v>1</x:v>
      </x:c>
      <x:c r="D28" s="2" t="b">
        <x:f>IF(Final!J6="cancelada",TRUE,COUNTIFS(Final!$C$6:$C$8,Final!C6,Final!$E$6:$E$8,Final!E6,Final!$F$6:$F$8,"&lt;"&amp;Final!G6,Final!$G$6:$G$8,"&gt;"&amp;Final!F6,Final!$J$6:$J$8,"&lt;&gt;cancelada")=1)</x:f>
        <x:v>1</x:v>
      </x:c>
      <x:c r="E28" s="2"/>
      <x:c r="F28" s="2"/>
      <x:c r="G28" s="2"/>
      <x:c r="H28" s="2"/>
      <x:c r="I28" s="2"/>
      <x:c r="J28" s="2"/>
      <x:c r="K28" s="2"/>
      <x:c r="L28" s="2"/>
    </x:row>
    <x:row r="29" ht="29" customHeight="1">
      <x:c r="A29" s="9" t="str">
        <x:v>R102</x:v>
      </x:c>
      <x:c r="B29" s="9" t="b">
        <x:f>AND(COUNTIFS(Datos_base!$A$6:$A$9,Final!B7)=1,COUNTIFS(Datos_base!$A$13:$A$13,Final!C7)=1,COUNTIFS(Datos_base!$A$17:$A$18,Final!D7)=1)</x:f>
        <x:v>1</x:v>
      </x:c>
      <x:c r="C29" s="9" t="b">
        <x:f>ROUND((Final!G7-Final!F7)*1440,0)=Final!H7</x:f>
        <x:v>1</x:v>
      </x:c>
      <x:c r="D29" s="9" t="b">
        <x:f>IF(Final!J7="cancelada",TRUE,COUNTIFS(Final!$C$6:$C$8,Final!C7,Final!$E$6:$E$8,Final!E7,Final!$F$6:$F$8,"&lt;"&amp;Final!G7,Final!$G$6:$G$8,"&gt;"&amp;Final!F7,Final!$J$6:$J$8,"&lt;&gt;cancelada")=1)</x:f>
        <x:v>1</x:v>
      </x:c>
      <x:c r="E29" s="2"/>
      <x:c r="F29" s="2"/>
      <x:c r="G29" s="2"/>
      <x:c r="H29" s="2"/>
      <x:c r="I29" s="2"/>
      <x:c r="J29" s="2"/>
      <x:c r="K29" s="2"/>
      <x:c r="L29" s="2"/>
    </x:row>
    <x:row r="30" ht="29" customHeight="1">
      <x:c r="A30" s="2" t="str">
        <x:v>R103</x:v>
      </x:c>
      <x:c r="B30" s="2" t="b">
        <x:f>AND(COUNTIFS(Datos_base!$A$6:$A$9,Final!B8)=1,COUNTIFS(Datos_base!$A$13:$A$13,Final!C8)=1,COUNTIFS(Datos_base!$A$17:$A$18,Final!D8)=1)</x:f>
        <x:v>1</x:v>
      </x:c>
      <x:c r="C30" s="2" t="b">
        <x:f>ROUND((Final!G8-Final!F8)*1440,0)=Final!H8</x:f>
        <x:v>1</x:v>
      </x:c>
      <x:c r="D30" s="2" t="b">
        <x:f>IF(Final!J8="cancelada",TRUE,COUNTIFS(Final!$C$6:$C$8,Final!C8,Final!$E$6:$E$8,Final!E8,Final!$F$6:$F$8,"&lt;"&amp;Final!G8,Final!$G$6:$G$8,"&gt;"&amp;Final!F8,Final!$J$6:$J$8,"&lt;&gt;cancelada")=1)</x:f>
        <x:v>1</x:v>
      </x:c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6" customHeight="1">
      <x:c r="A33" s="8" t="str">
        <x:v>Auditoría</x:v>
      </x:c>
      <x:c r="B33" s="8" t="str">
        <x:v>FK válidas</x:v>
      </x:c>
      <x:c r="C33" s="8" t="str">
        <x:v>Notificación con FK válidas</x:v>
      </x:c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9" customHeight="1">
      <x:c r="A34" s="2" t="str">
        <x:v>A1</x:v>
      </x:c>
      <x:c r="B34" s="2" t="b">
        <x:f>AND(COUNTIFS(Final!$A$6:$A$8,Trazabilidad!B6)=1,COUNTIFS(Datos_base!$A$6:$A$9,Trazabilidad!C6)=1)</x:f>
        <x:v>1</x:v>
      </x:c>
      <x:c r="C34" s="2" t="b">
        <x:f>AND(COUNTIFS(Final!$A$6:$A$8,Trazabilidad!B18)=1,COUNTIFS(Datos_base!$A$6:$A$9,Trazabilidad!C18)=1)</x:f>
        <x:v>1</x:v>
      </x:c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9" customHeight="1">
      <x:c r="A35" s="9" t="str">
        <x:v>A2</x:v>
      </x:c>
      <x:c r="B35" s="9" t="b">
        <x:f>AND(COUNTIFS(Final!$A$6:$A$8,Trazabilidad!B7)=1,COUNTIFS(Datos_base!$A$6:$A$9,Trazabilidad!C7)=1)</x:f>
        <x:v>1</x:v>
      </x:c>
      <x:c r="C35" s="9" t="b">
        <x:f>AND(COUNTIFS(Final!$A$6:$A$8,Trazabilidad!B19)=1,COUNTIFS(Datos_base!$A$6:$A$9,Trazabilidad!C19)=1)</x:f>
        <x:v>1</x:v>
      </x:c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9" customHeight="1">
      <x:c r="A36" s="2" t="str">
        <x:v>A3</x:v>
      </x:c>
      <x:c r="B36" s="2" t="b">
        <x:f>AND(COUNTIFS(Final!$A$6:$A$8,Trazabilidad!B8)=1,COUNTIFS(Datos_base!$A$6:$A$9,Trazabilidad!C8)=1)</x:f>
        <x:v>1</x:v>
      </x:c>
      <x:c r="C36" s="2" t="b">
        <x:f>AND(COUNTIFS(Final!$A$6:$A$8,Trazabilidad!B20)=1,COUNTIFS(Datos_base!$A$6:$A$9,Trazabilidad!C20)=1)</x:f>
        <x:v>1</x:v>
      </x:c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9" customHeight="1">
      <x:c r="A37" s="9" t="str">
        <x:v>A4</x:v>
      </x:c>
      <x:c r="B37" s="9" t="b">
        <x:f>AND(COUNTIFS(Final!$A$6:$A$8,Trazabilidad!B9)=1,COUNTIFS(Datos_base!$A$6:$A$9,Trazabilidad!C9)=1)</x:f>
        <x:v>1</x:v>
      </x:c>
      <x:c r="C37" s="9" t="b">
        <x:f>AND(COUNTIFS(Final!$A$6:$A$8,Trazabilidad!B21)=1,COUNTIFS(Datos_base!$A$6:$A$9,Trazabilidad!C21)=1)</x:f>
        <x:v>1</x:v>
      </x:c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9" customHeight="1">
      <x:c r="A38" s="2" t="str">
        <x:v>A5</x:v>
      </x:c>
      <x:c r="B38" s="2" t="b">
        <x:f>AND(COUNTIFS(Final!$A$6:$A$8,Trazabilidad!B10)=1,COUNTIFS(Datos_base!$A$6:$A$9,Trazabilidad!C10)=1)</x:f>
        <x:v>1</x:v>
      </x:c>
      <x:c r="C38" s="2" t="b">
        <x:f>AND(COUNTIFS(Final!$A$6:$A$8,Trazabilidad!B22)=1,COUNTIFS(Datos_base!$A$6:$A$9,Trazabilidad!C22)=1)</x:f>
        <x:v>1</x:v>
      </x:c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9" customHeight="1">
      <x:c r="A39" s="9" t="str">
        <x:v>A6</x:v>
      </x:c>
      <x:c r="B39" s="9" t="b">
        <x:f>AND(COUNTIFS(Final!$A$6:$A$8,Trazabilidad!B11)=1,COUNTIFS(Datos_base!$A$6:$A$9,Trazabilidad!C11)=1)</x:f>
        <x:v>1</x:v>
      </x:c>
      <x:c r="C39" s="9" t="b">
        <x:f>AND(COUNTIFS(Final!$A$6:$A$8,Trazabilidad!B23)=1,COUNTIFS(Datos_base!$A$6:$A$9,Trazabilidad!C23)=1)</x:f>
        <x:v>1</x:v>
      </x:c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9" customHeight="1">
      <x:c r="A40" s="2" t="str">
        <x:v>A7</x:v>
      </x:c>
      <x:c r="B40" s="2" t="b">
        <x:f>AND(COUNTIFS(Final!$A$6:$A$8,Trazabilidad!B12)=1,COUNTIFS(Datos_base!$A$6:$A$9,Trazabilidad!C12)=1)</x:f>
        <x:v>1</x:v>
      </x:c>
      <x:c r="C40" s="2" t="b">
        <x:f>AND(COUNTIFS(Final!$A$6:$A$8,Trazabilidad!B24)=1,COUNTIFS(Datos_base!$A$6:$A$9,Trazabilidad!C24)=1)</x:f>
        <x:v>1</x:v>
      </x:c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9" customHeight="1">
      <x:c r="A41" s="9" t="str">
        <x:v>A8</x:v>
      </x:c>
      <x:c r="B41" s="9" t="b">
        <x:f>AND(COUNTIFS(Final!$A$6:$A$8,Trazabilidad!B13)=1,COUNTIFS(Datos_base!$A$6:$A$9,Trazabilidad!C13)=1)</x:f>
        <x:v>1</x:v>
      </x:c>
      <x:c r="C41" s="9" t="b">
        <x:f>AND(COUNTIFS(Final!$A$6:$A$8,Trazabilidad!B25)=1,COUNTIFS(Datos_base!$A$6:$A$9,Trazabilidad!C25)=1)</x:f>
        <x:v>1</x:v>
      </x:c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 t="str">
        <x:v>1 / TRUE = condición comprobada. Edita las claves y datos para repetir la revisión.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conditionalFormatting sqref="B28:D30">
    <x:cfRule type="cellIs" dxfId="0" priority="1" operator="equal">
      <x:formula>FALSE</x:formula>
    </x:cfRule>
  </x:conditionalFormatting>
  <x:conditionalFormatting sqref="B34:C41">
    <x:cfRule type="cellIs" dxfId="1" priority="2" operator="equal">
      <x:formula>FALSE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BarberTurno: datos de prueba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Fuente: caso académico APF1 y datos ficticios diseñados para la corrida manual del APF2.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8" t="str">
        <x:v>Usuario PK</x:v>
      </x:c>
      <x:c r="B5" s="8" t="str">
        <x:v>Nombre</x:v>
      </x:c>
      <x:c r="C5" s="8" t="str">
        <x:v>Rol</x:v>
      </x:c>
      <x:c r="D5" s="8" t="str">
        <x:v>Correo</x:v>
      </x:c>
      <x:c r="E5" s="2"/>
      <x:c r="F5" s="2"/>
      <x:c r="G5" s="2"/>
      <x:c r="H5" s="2"/>
      <x:c r="I5" s="2"/>
      <x:c r="J5" s="2"/>
      <x:c r="K5" s="2"/>
      <x:c r="L5" s="2"/>
    </x:row>
    <x:row r="6" ht="29" customHeight="1">
      <x:c r="A6" s="2" t="str">
        <x:v>U1</x:v>
      </x:c>
      <x:c r="B6" s="2" t="str">
        <x:v>Ana</x:v>
      </x:c>
      <x:c r="C6" s="2" t="str">
        <x:v>cliente</x:v>
      </x:c>
      <x:c r="D6" s="2" t="str">
        <x:v>ana@ejemplo.test</x:v>
      </x:c>
      <x:c r="E6" s="2"/>
      <x:c r="F6" s="2"/>
      <x:c r="G6" s="2"/>
      <x:c r="H6" s="2"/>
      <x:c r="I6" s="2"/>
      <x:c r="J6" s="2"/>
      <x:c r="K6" s="2"/>
      <x:c r="L6" s="2"/>
    </x:row>
    <x:row r="7" ht="29" customHeight="1">
      <x:c r="A7" s="9" t="str">
        <x:v>U2</x:v>
      </x:c>
      <x:c r="B7" s="9" t="str">
        <x:v>Luis</x:v>
      </x:c>
      <x:c r="C7" s="9" t="str">
        <x:v>cliente</x:v>
      </x:c>
      <x:c r="D7" s="9" t="str">
        <x:v>luis@ejemplo.test</x:v>
      </x:c>
      <x:c r="E7" s="2"/>
      <x:c r="F7" s="2"/>
      <x:c r="G7" s="2"/>
      <x:c r="H7" s="2"/>
      <x:c r="I7" s="2"/>
      <x:c r="J7" s="2"/>
      <x:c r="K7" s="2"/>
      <x:c r="L7" s="2"/>
    </x:row>
    <x:row r="8" ht="29" customHeight="1">
      <x:c r="A8" s="2" t="str">
        <x:v>U3</x:v>
      </x:c>
      <x:c r="B8" s="2" t="str">
        <x:v>Carlos</x:v>
      </x:c>
      <x:c r="C8" s="2" t="str">
        <x:v>barbero</x:v>
      </x:c>
      <x:c r="D8" s="2" t="str">
        <x:v>carlos@ejemplo.test</x:v>
      </x:c>
      <x:c r="E8" s="2"/>
      <x:c r="F8" s="2"/>
      <x:c r="G8" s="2"/>
      <x:c r="H8" s="2"/>
      <x:c r="I8" s="2"/>
      <x:c r="J8" s="2"/>
      <x:c r="K8" s="2"/>
      <x:c r="L8" s="2"/>
    </x:row>
    <x:row r="9" ht="29" customHeight="1">
      <x:c r="A9" s="9" t="str">
        <x:v>U4</x:v>
      </x:c>
      <x:c r="B9" s="9" t="str">
        <x:v>Administrador</x:v>
      </x:c>
      <x:c r="C9" s="9" t="str">
        <x:v>administrador</x:v>
      </x:c>
      <x:c r="D9" s="9" t="str">
        <x:v>admin@ejemplo.test</x:v>
      </x:c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36" customHeight="1">
      <x:c r="A12" s="8" t="str">
        <x:v>Barbero PK</x:v>
      </x:c>
      <x:c r="B12" s="8" t="str">
        <x:v>Usuario FK</x:v>
      </x:c>
      <x:c r="C12" s="8" t="str">
        <x:v>Especialidad</x:v>
      </x:c>
      <x:c r="D12" s="8" t="str">
        <x:v>Activo</x:v>
      </x:c>
      <x:c r="E12" s="2"/>
      <x:c r="F12" s="2"/>
      <x:c r="G12" s="2"/>
      <x:c r="H12" s="2"/>
      <x:c r="I12" s="2"/>
      <x:c r="J12" s="2"/>
      <x:c r="K12" s="2"/>
      <x:c r="L12" s="2"/>
    </x:row>
    <x:row r="13" ht="29" customHeight="1">
      <x:c r="A13" s="2" t="str">
        <x:v>B1</x:v>
      </x:c>
      <x:c r="B13" s="2" t="str">
        <x:v>U3</x:v>
      </x:c>
      <x:c r="C13" s="2" t="str">
        <x:v>Corte y barba</x:v>
      </x:c>
      <x:c r="D13" s="10" t="b">
        <x:v>1</x:v>
      </x:c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36" customHeight="1">
      <x:c r="A16" s="8" t="str">
        <x:v>Servicio PK</x:v>
      </x:c>
      <x:c r="B16" s="8" t="str">
        <x:v>Nombre</x:v>
      </x:c>
      <x:c r="C16" s="8" t="str">
        <x:v>Minutos</x:v>
      </x:c>
      <x:c r="D16" s="8" t="str">
        <x:v>Precio inicial</x:v>
      </x:c>
      <x:c r="E16" s="8" t="str">
        <x:v>Precio final</x:v>
      </x:c>
      <x:c r="F16" s="8" t="str">
        <x:v>Activo</x:v>
      </x:c>
      <x:c r="G16" s="2"/>
      <x:c r="H16" s="2"/>
      <x:c r="I16" s="2"/>
      <x:c r="J16" s="2"/>
      <x:c r="K16" s="2"/>
      <x:c r="L16" s="2"/>
    </x:row>
    <x:row r="17" ht="29" customHeight="1">
      <x:c r="A17" s="2" t="str">
        <x:v>S1</x:v>
      </x:c>
      <x:c r="B17" s="2" t="str">
        <x:v>Corte</x:v>
      </x:c>
      <x:c r="C17" s="2" t="n">
        <x:v>30</x:v>
      </x:c>
      <x:c r="D17" s="12" t="n">
        <x:v>25</x:v>
      </x:c>
      <x:c r="E17" s="12" t="n">
        <x:v>30</x:v>
      </x:c>
      <x:c r="F17" s="10" t="b">
        <x:v>1</x:v>
      </x:c>
      <x:c r="G17" s="2"/>
      <x:c r="H17" s="2"/>
      <x:c r="I17" s="2"/>
      <x:c r="J17" s="2"/>
      <x:c r="K17" s="2"/>
      <x:c r="L17" s="2"/>
    </x:row>
    <x:row r="18" ht="29" customHeight="1">
      <x:c r="A18" s="9" t="str">
        <x:v>S2</x:v>
      </x:c>
      <x:c r="B18" s="9" t="str">
        <x:v>Barba</x:v>
      </x:c>
      <x:c r="C18" s="9" t="n">
        <x:v>20</x:v>
      </x:c>
      <x:c r="D18" s="13" t="n">
        <x:v>20</x:v>
      </x:c>
      <x:c r="E18" s="13" t="n">
        <x:v>20</x:v>
      </x:c>
      <x:c r="F18" s="11" t="b">
        <x:v>1</x:v>
      </x:c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36" customHeight="1">
      <x:c r="A21" s="8" t="str">
        <x:v>Jornada PK</x:v>
      </x:c>
      <x:c r="B21" s="8" t="str">
        <x:v>Barbero FK</x:v>
      </x:c>
      <x:c r="C21" s="8" t="str">
        <x:v>Día semana</x:v>
      </x:c>
      <x:c r="D21" s="8" t="str">
        <x:v>Inicio</x:v>
      </x:c>
      <x:c r="E21" s="8" t="str">
        <x:v>Fin</x:v>
      </x:c>
      <x:c r="F21" s="2"/>
      <x:c r="G21" s="2"/>
      <x:c r="H21" s="2"/>
      <x:c r="I21" s="2"/>
      <x:c r="J21" s="2"/>
      <x:c r="K21" s="2"/>
      <x:c r="L21" s="2"/>
    </x:row>
    <x:row r="22" ht="29" customHeight="1">
      <x:c r="A22" s="2" t="str">
        <x:v>J1</x:v>
      </x:c>
      <x:c r="B22" s="2" t="str">
        <x:v>B1</x:v>
      </x:c>
      <x:c r="C22" s="2" t="n">
        <x:v>4</x:v>
      </x:c>
      <x:c r="D22" s="14" t="n">
        <x:v>0.375</x:v>
      </x:c>
      <x:c r="E22" s="14" t="n">
        <x:v>0.5416666666666666</x:v>
      </x:c>
      <x:c r="F22" s="2"/>
      <x:c r="G22" s="2"/>
      <x:c r="H22" s="2"/>
      <x:c r="I22" s="2"/>
      <x:c r="J22" s="2"/>
      <x:c r="K22" s="2"/>
      <x:c r="L22" s="2"/>
    </x:row>
    <x:row r="23" ht="29" customHeight="1">
      <x:c r="A23" s="9" t="str">
        <x:v>J2</x:v>
      </x:c>
      <x:c r="B23" s="9" t="str">
        <x:v>B1</x:v>
      </x:c>
      <x:c r="C23" s="9" t="n">
        <x:v>4</x:v>
      </x:c>
      <x:c r="D23" s="15" t="n">
        <x:v>0.5833333333333334</x:v>
      </x:c>
      <x:c r="E23" s="15" t="n">
        <x:v>0.75</x:v>
      </x:c>
      <x:c r="F23" s="2"/>
      <x:c r="G23" s="2"/>
      <x:c r="H23" s="2"/>
      <x:c r="I23" s="2"/>
      <x:c r="J23" s="2"/>
      <x:c r="K23" s="2"/>
      <x:c r="L23" s="2"/>
    </x:row>
    <x:row r="24" ht="23" customHeight="1">
      <x:c r="A24" s="2" t="str">
        <x:v>Día 4 = jueves (lunes = 1). Descanso: 13:00 a 14:00.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36" customHeight="1">
      <x:c r="A26" s="8" t="str">
        <x:v>Bloqueo PK</x:v>
      </x:c>
      <x:c r="B26" s="8" t="str">
        <x:v>Barbero FK</x:v>
      </x:c>
      <x:c r="C26" s="8" t="str">
        <x:v>Fecha</x:v>
      </x:c>
      <x:c r="D26" s="8" t="str">
        <x:v>Inicio</x:v>
      </x:c>
      <x:c r="E26" s="8" t="str">
        <x:v>Fin</x:v>
      </x:c>
      <x:c r="F26" s="8" t="str">
        <x:v>Motivo</x:v>
      </x:c>
      <x:c r="G26" s="2"/>
      <x:c r="H26" s="2"/>
      <x:c r="I26" s="2"/>
      <x:c r="J26" s="2"/>
      <x:c r="K26" s="2"/>
      <x:c r="L26" s="2"/>
    </x:row>
    <x:row r="27" ht="29" customHeight="1">
      <x:c r="A27" s="2" t="str">
        <x:v>K1</x:v>
      </x:c>
      <x:c r="B27" s="2" t="str">
        <x:v>B1</x:v>
      </x:c>
      <x:c r="C27" s="16" t="n">
        <x:v>46296</x:v>
      </x:c>
      <x:c r="D27" s="14" t="n">
        <x:v>0.6666666666666666</x:v>
      </x:c>
      <x:c r="E27" s="14" t="n">
        <x:v>0.7083333333333334</x:v>
      </x:c>
      <x:c r="F27" s="2" t="str">
        <x:v>Trámite</x:v>
      </x:c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Reservas: estado inicial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Horas de Lima. Los registros son instantáneas de la corrida manual descrita en Verificacion.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8" t="str">
        <x:v>Reserva PK</x:v>
      </x:c>
      <x:c r="B5" s="8" t="str">
        <x:v>Cliente FK</x:v>
      </x:c>
      <x:c r="C5" s="8" t="str">
        <x:v>Barbero FK</x:v>
      </x:c>
      <x:c r="D5" s="8" t="str">
        <x:v>Servicio FK</x:v>
      </x:c>
      <x:c r="E5" s="8" t="str">
        <x:v>Fecha</x:v>
      </x:c>
      <x:c r="F5" s="8" t="str">
        <x:v>Inicio</x:v>
      </x:c>
      <x:c r="G5" s="8" t="str">
        <x:v>Fin</x:v>
      </x:c>
      <x:c r="H5" s="8" t="str">
        <x:v>Minutos ref.</x:v>
      </x:c>
      <x:c r="I5" s="8" t="str">
        <x:v>Precio ref.</x:v>
      </x:c>
      <x:c r="J5" s="8" t="str">
        <x:v>Estado</x:v>
      </x:c>
      <x:c r="K5" s="2"/>
      <x:c r="L5" s="2"/>
    </x:row>
    <x:row r="6" ht="29" customHeight="1">
      <x:c r="A6" s="2" t="str">
        <x:v>R101</x:v>
      </x:c>
      <x:c r="B6" s="2" t="str">
        <x:v>U1</x:v>
      </x:c>
      <x:c r="C6" s="2" t="str">
        <x:v>B1</x:v>
      </x:c>
      <x:c r="D6" s="2" t="str">
        <x:v>S1</x:v>
      </x:c>
      <x:c r="E6" s="16" t="n">
        <x:v>46296</x:v>
      </x:c>
      <x:c r="F6" s="14" t="n">
        <x:v>0.4166666666666667</x:v>
      </x:c>
      <x:c r="G6" s="14" t="n">
        <x:v>0.4375</x:v>
      </x:c>
      <x:c r="H6" s="2" t="n">
        <x:v>30</x:v>
      </x:c>
      <x:c r="I6" s="12" t="n">
        <x:v>25</x:v>
      </x:c>
      <x:c r="J6" s="2" t="str">
        <x:v>confirmada</x:v>
      </x:c>
      <x:c r="K6" s="2"/>
      <x:c r="L6" s="2"/>
    </x:row>
    <x:row r="7" ht="29" customHeight="1">
      <x:c r="A7" s="9" t="str">
        <x:v>R102</x:v>
      </x:c>
      <x:c r="B7" s="9" t="str">
        <x:v>U2</x:v>
      </x:c>
      <x:c r="C7" s="9" t="str">
        <x:v>B1</x:v>
      </x:c>
      <x:c r="D7" s="9" t="str">
        <x:v>S2</x:v>
      </x:c>
      <x:c r="E7" s="17" t="n">
        <x:v>46296</x:v>
      </x:c>
      <x:c r="F7" s="15" t="n">
        <x:v>0.4375</x:v>
      </x:c>
      <x:c r="G7" s="15" t="n">
        <x:v>0.4513888888888889</x:v>
      </x:c>
      <x:c r="H7" s="9" t="n">
        <x:v>20</x:v>
      </x:c>
      <x:c r="I7" s="13" t="n">
        <x:v>20</x:v>
      </x:c>
      <x:c r="J7" s="9" t="str">
        <x:v>pendiente</x:v>
      </x:c>
      <x:c r="K7" s="2"/>
      <x:c r="L7" s="2"/>
    </x:row>
    <x:row r="8" ht="23" customHeight="1">
      <x:c r="A8" s="2"/>
      <x:c r="B8" s="2"/>
      <x:c r="C8" s="2"/>
      <x:c r="D8" s="2"/>
      <x:c r="E8" s="16"/>
      <x:c r="F8" s="14"/>
      <x:c r="G8" s="14"/>
      <x:c r="H8" s="2"/>
      <x:c r="I8" s="1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Reservas: estado final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Horas de Lima. Los registros son instantáneas de la corrida manual descrita en Verificacion.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8" t="str">
        <x:v>Reserva PK</x:v>
      </x:c>
      <x:c r="B5" s="8" t="str">
        <x:v>Cliente FK</x:v>
      </x:c>
      <x:c r="C5" s="8" t="str">
        <x:v>Barbero FK</x:v>
      </x:c>
      <x:c r="D5" s="8" t="str">
        <x:v>Servicio FK</x:v>
      </x:c>
      <x:c r="E5" s="8" t="str">
        <x:v>Fecha</x:v>
      </x:c>
      <x:c r="F5" s="8" t="str">
        <x:v>Inicio</x:v>
      </x:c>
      <x:c r="G5" s="8" t="str">
        <x:v>Fin</x:v>
      </x:c>
      <x:c r="H5" s="8" t="str">
        <x:v>Minutos ref.</x:v>
      </x:c>
      <x:c r="I5" s="8" t="str">
        <x:v>Precio ref.</x:v>
      </x:c>
      <x:c r="J5" s="8" t="str">
        <x:v>Estado</x:v>
      </x:c>
      <x:c r="K5" s="2"/>
      <x:c r="L5" s="2"/>
    </x:row>
    <x:row r="6" ht="29" customHeight="1">
      <x:c r="A6" s="2" t="str">
        <x:v>R101</x:v>
      </x:c>
      <x:c r="B6" s="2" t="str">
        <x:v>U1</x:v>
      </x:c>
      <x:c r="C6" s="2" t="str">
        <x:v>B1</x:v>
      </x:c>
      <x:c r="D6" s="2" t="str">
        <x:v>S1</x:v>
      </x:c>
      <x:c r="E6" s="16" t="n">
        <x:v>46296</x:v>
      </x:c>
      <x:c r="F6" s="14" t="n">
        <x:v>0.4166666666666667</x:v>
      </x:c>
      <x:c r="G6" s="14" t="n">
        <x:v>0.4375</x:v>
      </x:c>
      <x:c r="H6" s="2" t="n">
        <x:v>30</x:v>
      </x:c>
      <x:c r="I6" s="12" t="n">
        <x:v>25</x:v>
      </x:c>
      <x:c r="J6" s="2" t="str">
        <x:v>cancelada</x:v>
      </x:c>
      <x:c r="K6" s="2"/>
      <x:c r="L6" s="2"/>
    </x:row>
    <x:row r="7" ht="29" customHeight="1">
      <x:c r="A7" s="9" t="str">
        <x:v>R102</x:v>
      </x:c>
      <x:c r="B7" s="9" t="str">
        <x:v>U2</x:v>
      </x:c>
      <x:c r="C7" s="9" t="str">
        <x:v>B1</x:v>
      </x:c>
      <x:c r="D7" s="9" t="str">
        <x:v>S2</x:v>
      </x:c>
      <x:c r="E7" s="17" t="n">
        <x:v>46296</x:v>
      </x:c>
      <x:c r="F7" s="15" t="n">
        <x:v>0.4375</x:v>
      </x:c>
      <x:c r="G7" s="15" t="n">
        <x:v>0.4513888888888889</x:v>
      </x:c>
      <x:c r="H7" s="9" t="n">
        <x:v>20</x:v>
      </x:c>
      <x:c r="I7" s="13" t="n">
        <x:v>20</x:v>
      </x:c>
      <x:c r="J7" s="9" t="str">
        <x:v>completada</x:v>
      </x:c>
      <x:c r="K7" s="2"/>
      <x:c r="L7" s="2"/>
    </x:row>
    <x:row r="8" ht="29" customHeight="1">
      <x:c r="A8" s="2" t="str">
        <x:v>R103</x:v>
      </x:c>
      <x:c r="B8" s="2" t="str">
        <x:v>U1</x:v>
      </x:c>
      <x:c r="C8" s="2" t="str">
        <x:v>B1</x:v>
      </x:c>
      <x:c r="D8" s="2" t="str">
        <x:v>S1</x:v>
      </x:c>
      <x:c r="E8" s="16" t="n">
        <x:v>46296</x:v>
      </x:c>
      <x:c r="F8" s="14" t="n">
        <x:v>0.4166666666666667</x:v>
      </x:c>
      <x:c r="G8" s="14" t="n">
        <x:v>0.4375</x:v>
      </x:c>
      <x:c r="H8" s="2" t="n">
        <x:v>30</x:v>
      </x:c>
      <x:c r="I8" s="12" t="n">
        <x:v>25</x:v>
      </x:c>
      <x:c r="J8" s="2" t="str">
        <x:v>confirmada</x:v>
      </x:c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9" hidden="0" customWidth="1"/>
    <x:col min="5" max="5" width="18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Auditorías y notificaciones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Estado final. Fechas y horas de Lima; el paso de atención se simula el 01/10/2026.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8" t="str">
        <x:v>Auditoría PK</x:v>
      </x:c>
      <x:c r="B5" s="8" t="str">
        <x:v>Reserva FK</x:v>
      </x:c>
      <x:c r="C5" s="8" t="str">
        <x:v>Actor FK</x:v>
      </x:c>
      <x:c r="D5" s="8" t="str">
        <x:v>Acción</x:v>
      </x:c>
      <x:c r="E5" s="8" t="str">
        <x:v>Anterior</x:v>
      </x:c>
      <x:c r="F5" s="8" t="str">
        <x:v>Nuevo</x:v>
      </x:c>
      <x:c r="G5" s="8" t="str">
        <x:v>Fecha y hora</x:v>
      </x:c>
      <x:c r="H5" s="2"/>
      <x:c r="I5" s="2"/>
      <x:c r="J5" s="2"/>
      <x:c r="K5" s="2"/>
      <x:c r="L5" s="2"/>
    </x:row>
    <x:row r="6" ht="29" customHeight="1">
      <x:c r="A6" s="2" t="str">
        <x:v>A1</x:v>
      </x:c>
      <x:c r="B6" s="2" t="str">
        <x:v>R101</x:v>
      </x:c>
      <x:c r="C6" s="2" t="str">
        <x:v>U1</x:v>
      </x:c>
      <x:c r="D6" s="2" t="str">
        <x:v>Crear</x:v>
      </x:c>
      <x:c r="E6" s="2" t="str">
        <x:v>Sin reserva</x:v>
      </x:c>
      <x:c r="F6" s="2" t="str">
        <x:v>confirmada</x:v>
      </x:c>
      <x:c r="G6" s="18" t="n">
        <x:v>46293.375</x:v>
      </x:c>
      <x:c r="H6" s="2"/>
      <x:c r="I6" s="2"/>
      <x:c r="J6" s="2"/>
      <x:c r="K6" s="2"/>
      <x:c r="L6" s="2"/>
    </x:row>
    <x:row r="7" ht="29" customHeight="1">
      <x:c r="A7" s="9" t="str">
        <x:v>A2</x:v>
      </x:c>
      <x:c r="B7" s="9" t="str">
        <x:v>R102</x:v>
      </x:c>
      <x:c r="C7" s="9" t="str">
        <x:v>U2</x:v>
      </x:c>
      <x:c r="D7" s="9" t="str">
        <x:v>Crear</x:v>
      </x:c>
      <x:c r="E7" s="9" t="str">
        <x:v>Sin reserva</x:v>
      </x:c>
      <x:c r="F7" s="9" t="str">
        <x:v>pendiente</x:v>
      </x:c>
      <x:c r="G7" s="19" t="n">
        <x:v>46293.37569444445</x:v>
      </x:c>
      <x:c r="H7" s="2"/>
      <x:c r="I7" s="2"/>
      <x:c r="J7" s="2"/>
      <x:c r="K7" s="2"/>
      <x:c r="L7" s="2"/>
    </x:row>
    <x:row r="8" ht="29" customHeight="1">
      <x:c r="A8" s="2" t="str">
        <x:v>A3</x:v>
      </x:c>
      <x:c r="B8" s="2" t="str">
        <x:v>R103</x:v>
      </x:c>
      <x:c r="C8" s="2" t="str">
        <x:v>U1</x:v>
      </x:c>
      <x:c r="D8" s="2" t="str">
        <x:v>Crear</x:v>
      </x:c>
      <x:c r="E8" s="2" t="str">
        <x:v>Sin reserva</x:v>
      </x:c>
      <x:c r="F8" s="2" t="str">
        <x:v>10:50 confirmada</x:v>
      </x:c>
      <x:c r="G8" s="18" t="n">
        <x:v>46293.376388888886</x:v>
      </x:c>
      <x:c r="H8" s="2"/>
      <x:c r="I8" s="2"/>
      <x:c r="J8" s="2"/>
      <x:c r="K8" s="2"/>
      <x:c r="L8" s="2"/>
    </x:row>
    <x:row r="9" ht="29" customHeight="1">
      <x:c r="A9" s="9" t="str">
        <x:v>A4</x:v>
      </x:c>
      <x:c r="B9" s="9" t="str">
        <x:v>R101</x:v>
      </x:c>
      <x:c r="C9" s="9" t="str">
        <x:v>U1</x:v>
      </x:c>
      <x:c r="D9" s="9" t="str">
        <x:v>Cancelar</x:v>
      </x:c>
      <x:c r="E9" s="9" t="str">
        <x:v>confirmada</x:v>
      </x:c>
      <x:c r="F9" s="9" t="str">
        <x:v>cancelada</x:v>
      </x:c>
      <x:c r="G9" s="19" t="n">
        <x:v>46293.37708333333</x:v>
      </x:c>
      <x:c r="H9" s="2"/>
      <x:c r="I9" s="2"/>
      <x:c r="J9" s="2"/>
      <x:c r="K9" s="2"/>
      <x:c r="L9" s="2"/>
    </x:row>
    <x:row r="10" ht="29" customHeight="1">
      <x:c r="A10" s="2" t="str">
        <x:v>A5</x:v>
      </x:c>
      <x:c r="B10" s="2" t="str">
        <x:v>R103</x:v>
      </x:c>
      <x:c r="C10" s="2" t="str">
        <x:v>U1</x:v>
      </x:c>
      <x:c r="D10" s="2" t="str">
        <x:v>Reprogramar</x:v>
      </x:c>
      <x:c r="E10" s="2" t="str">
        <x:v>10:50</x:v>
      </x:c>
      <x:c r="F10" s="2" t="str">
        <x:v>10:00</x:v>
      </x:c>
      <x:c r="G10" s="18" t="n">
        <x:v>46293.37777777778</x:v>
      </x:c>
      <x:c r="H10" s="2"/>
      <x:c r="I10" s="2"/>
      <x:c r="J10" s="2"/>
      <x:c r="K10" s="2"/>
      <x:c r="L10" s="2"/>
    </x:row>
    <x:row r="11" ht="29" customHeight="1">
      <x:c r="A11" s="9" t="str">
        <x:v>A6</x:v>
      </x:c>
      <x:c r="B11" s="9" t="str">
        <x:v>R102</x:v>
      </x:c>
      <x:c r="C11" s="9" t="str">
        <x:v>U3</x:v>
      </x:c>
      <x:c r="D11" s="9" t="str">
        <x:v>Confirmar</x:v>
      </x:c>
      <x:c r="E11" s="9" t="str">
        <x:v>pendiente</x:v>
      </x:c>
      <x:c r="F11" s="9" t="str">
        <x:v>confirmada</x:v>
      </x:c>
      <x:c r="G11" s="19" t="n">
        <x:v>46293.37847222222</x:v>
      </x:c>
      <x:c r="H11" s="2"/>
      <x:c r="I11" s="2"/>
      <x:c r="J11" s="2"/>
      <x:c r="K11" s="2"/>
      <x:c r="L11" s="2"/>
    </x:row>
    <x:row r="12" ht="29" customHeight="1">
      <x:c r="A12" s="2" t="str">
        <x:v>A7</x:v>
      </x:c>
      <x:c r="B12" s="2" t="str">
        <x:v>R102</x:v>
      </x:c>
      <x:c r="C12" s="2" t="str">
        <x:v>U3</x:v>
      </x:c>
      <x:c r="D12" s="2" t="str">
        <x:v>Atender</x:v>
      </x:c>
      <x:c r="E12" s="2" t="str">
        <x:v>confirmada</x:v>
      </x:c>
      <x:c r="F12" s="2" t="str">
        <x:v>en atención</x:v>
      </x:c>
      <x:c r="G12" s="18" t="n">
        <x:v>46296.4375</x:v>
      </x:c>
      <x:c r="H12" s="2"/>
      <x:c r="I12" s="2"/>
      <x:c r="J12" s="2"/>
      <x:c r="K12" s="2"/>
      <x:c r="L12" s="2"/>
    </x:row>
    <x:row r="13" ht="29" customHeight="1">
      <x:c r="A13" s="9" t="str">
        <x:v>A8</x:v>
      </x:c>
      <x:c r="B13" s="9" t="str">
        <x:v>R102</x:v>
      </x:c>
      <x:c r="C13" s="9" t="str">
        <x:v>U3</x:v>
      </x:c>
      <x:c r="D13" s="9" t="str">
        <x:v>Completar</x:v>
      </x:c>
      <x:c r="E13" s="9" t="str">
        <x:v>en atención</x:v>
      </x:c>
      <x:c r="F13" s="9" t="str">
        <x:v>completada</x:v>
      </x:c>
      <x:c r="G13" s="19" t="n">
        <x:v>46296.45138888889</x:v>
      </x:c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6" customHeight="1">
      <x:c r="A17" s="8" t="str">
        <x:v>Aviso PK</x:v>
      </x:c>
      <x:c r="B17" s="8" t="str">
        <x:v>Reserva FK</x:v>
      </x:c>
      <x:c r="C17" s="8" t="str">
        <x:v>Usuario FK</x:v>
      </x:c>
      <x:c r="D17" s="8" t="str">
        <x:v>Mensaje</x:v>
      </x:c>
      <x:c r="E17" s="8" t="str">
        <x:v>Leída</x:v>
      </x:c>
      <x:c r="F17" s="8" t="str">
        <x:v>Fecha y hora</x:v>
      </x:c>
      <x:c r="G17" s="2"/>
      <x:c r="H17" s="2"/>
      <x:c r="I17" s="2"/>
      <x:c r="J17" s="2"/>
      <x:c r="K17" s="2"/>
      <x:c r="L17" s="2"/>
    </x:row>
    <x:row r="18" ht="29" customHeight="1">
      <x:c r="A18" s="2" t="str">
        <x:v>N1</x:v>
      </x:c>
      <x:c r="B18" s="2" t="str">
        <x:v>R101</x:v>
      </x:c>
      <x:c r="C18" s="2" t="str">
        <x:v>U1</x:v>
      </x:c>
      <x:c r="D18" s="2" t="str">
        <x:v>R101: Crear</x:v>
      </x:c>
      <x:c r="E18" s="10" t="b">
        <x:v>0</x:v>
      </x:c>
      <x:c r="F18" s="18" t="n">
        <x:v>46293.375</x:v>
      </x:c>
      <x:c r="G18" s="2"/>
      <x:c r="H18" s="2"/>
      <x:c r="I18" s="2"/>
      <x:c r="J18" s="2"/>
      <x:c r="K18" s="2"/>
      <x:c r="L18" s="2"/>
    </x:row>
    <x:row r="19" ht="29" customHeight="1">
      <x:c r="A19" s="9" t="str">
        <x:v>N2</x:v>
      </x:c>
      <x:c r="B19" s="9" t="str">
        <x:v>R102</x:v>
      </x:c>
      <x:c r="C19" s="9" t="str">
        <x:v>U2</x:v>
      </x:c>
      <x:c r="D19" s="9" t="str">
        <x:v>R102: Crear</x:v>
      </x:c>
      <x:c r="E19" s="11" t="b">
        <x:v>0</x:v>
      </x:c>
      <x:c r="F19" s="19" t="n">
        <x:v>46293.37569444445</x:v>
      </x:c>
      <x:c r="G19" s="2"/>
      <x:c r="H19" s="2"/>
      <x:c r="I19" s="2"/>
      <x:c r="J19" s="2"/>
      <x:c r="K19" s="2"/>
      <x:c r="L19" s="2"/>
    </x:row>
    <x:row r="20" ht="29" customHeight="1">
      <x:c r="A20" s="2" t="str">
        <x:v>N3</x:v>
      </x:c>
      <x:c r="B20" s="2" t="str">
        <x:v>R103</x:v>
      </x:c>
      <x:c r="C20" s="2" t="str">
        <x:v>U1</x:v>
      </x:c>
      <x:c r="D20" s="2" t="str">
        <x:v>R103: Crear</x:v>
      </x:c>
      <x:c r="E20" s="10" t="b">
        <x:v>0</x:v>
      </x:c>
      <x:c r="F20" s="18" t="n">
        <x:v>46293.376388888886</x:v>
      </x:c>
      <x:c r="G20" s="2"/>
      <x:c r="H20" s="2"/>
      <x:c r="I20" s="2"/>
      <x:c r="J20" s="2"/>
      <x:c r="K20" s="2"/>
      <x:c r="L20" s="2"/>
    </x:row>
    <x:row r="21" ht="29" customHeight="1">
      <x:c r="A21" s="9" t="str">
        <x:v>N4</x:v>
      </x:c>
      <x:c r="B21" s="9" t="str">
        <x:v>R101</x:v>
      </x:c>
      <x:c r="C21" s="9" t="str">
        <x:v>U1</x:v>
      </x:c>
      <x:c r="D21" s="9" t="str">
        <x:v>R101: Cancelar</x:v>
      </x:c>
      <x:c r="E21" s="11" t="b">
        <x:v>0</x:v>
      </x:c>
      <x:c r="F21" s="19" t="n">
        <x:v>46293.37708333333</x:v>
      </x:c>
      <x:c r="G21" s="2"/>
      <x:c r="H21" s="2"/>
      <x:c r="I21" s="2"/>
      <x:c r="J21" s="2"/>
      <x:c r="K21" s="2"/>
      <x:c r="L21" s="2"/>
    </x:row>
    <x:row r="22" ht="29" customHeight="1">
      <x:c r="A22" s="2" t="str">
        <x:v>N5</x:v>
      </x:c>
      <x:c r="B22" s="2" t="str">
        <x:v>R103</x:v>
      </x:c>
      <x:c r="C22" s="2" t="str">
        <x:v>U1</x:v>
      </x:c>
      <x:c r="D22" s="2" t="str">
        <x:v>R103: Reprogramar</x:v>
      </x:c>
      <x:c r="E22" s="10" t="b">
        <x:v>0</x:v>
      </x:c>
      <x:c r="F22" s="18" t="n">
        <x:v>46293.37777777778</x:v>
      </x:c>
      <x:c r="G22" s="2"/>
      <x:c r="H22" s="2"/>
      <x:c r="I22" s="2"/>
      <x:c r="J22" s="2"/>
      <x:c r="K22" s="2"/>
      <x:c r="L22" s="2"/>
    </x:row>
    <x:row r="23" ht="29" customHeight="1">
      <x:c r="A23" s="9" t="str">
        <x:v>N6</x:v>
      </x:c>
      <x:c r="B23" s="9" t="str">
        <x:v>R102</x:v>
      </x:c>
      <x:c r="C23" s="9" t="str">
        <x:v>U2</x:v>
      </x:c>
      <x:c r="D23" s="9" t="str">
        <x:v>R102: Confirmar</x:v>
      </x:c>
      <x:c r="E23" s="11" t="b">
        <x:v>0</x:v>
      </x:c>
      <x:c r="F23" s="19" t="n">
        <x:v>46293.37847222222</x:v>
      </x:c>
      <x:c r="G23" s="2"/>
      <x:c r="H23" s="2"/>
      <x:c r="I23" s="2"/>
      <x:c r="J23" s="2"/>
      <x:c r="K23" s="2"/>
      <x:c r="L23" s="2"/>
    </x:row>
    <x:row r="24" ht="29" customHeight="1">
      <x:c r="A24" s="2" t="str">
        <x:v>N7</x:v>
      </x:c>
      <x:c r="B24" s="2" t="str">
        <x:v>R102</x:v>
      </x:c>
      <x:c r="C24" s="2" t="str">
        <x:v>U2</x:v>
      </x:c>
      <x:c r="D24" s="2" t="str">
        <x:v>R102: Atender</x:v>
      </x:c>
      <x:c r="E24" s="10" t="b">
        <x:v>0</x:v>
      </x:c>
      <x:c r="F24" s="18" t="n">
        <x:v>46296.4375</x:v>
      </x:c>
      <x:c r="G24" s="2"/>
      <x:c r="H24" s="2"/>
      <x:c r="I24" s="2"/>
      <x:c r="J24" s="2"/>
      <x:c r="K24" s="2"/>
      <x:c r="L24" s="2"/>
    </x:row>
    <x:row r="25" ht="29" customHeight="1">
      <x:c r="A25" s="9" t="str">
        <x:v>N8</x:v>
      </x:c>
      <x:c r="B25" s="9" t="str">
        <x:v>R102</x:v>
      </x:c>
      <x:c r="C25" s="9" t="str">
        <x:v>U2</x:v>
      </x:c>
      <x:c r="D25" s="9" t="str">
        <x:v>R102: Completar</x:v>
      </x:c>
      <x:c r="E25" s="11" t="b">
        <x:v>0</x:v>
      </x:c>
      <x:c r="F25" s="19" t="n">
        <x:v>46296.45138888889</x:v>
      </x:c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</x:sheetData>
  <x:pageMargins left="0.7" right="0.7" top="0.75" bottom="0.75" header="0.3" footer="0.3"/>
</x:worksheet>
</file>